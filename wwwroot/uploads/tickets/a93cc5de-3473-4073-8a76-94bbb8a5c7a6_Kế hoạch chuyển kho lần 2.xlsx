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hien/Desktop/"/>
    </mc:Choice>
  </mc:AlternateContent>
  <xr:revisionPtr revIDLastSave="0" documentId="13_ncr:1_{F88F044C-49A3-D646-96F2-C9C3ED939505}" xr6:coauthVersionLast="47" xr6:coauthVersionMax="47" xr10:uidLastSave="{00000000-0000-0000-0000-000000000000}"/>
  <bookViews>
    <workbookView xWindow="680" yWindow="760" windowWidth="28040" windowHeight="16900" xr2:uid="{670E83B1-1FC3-DA4C-B846-04887F0CF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7" i="1" s="1"/>
  <c r="J21" i="1"/>
  <c r="J22" i="1" s="1"/>
  <c r="J16" i="1"/>
  <c r="J17" i="1"/>
  <c r="J15" i="1"/>
  <c r="J18" i="1" s="1"/>
  <c r="J10" i="1"/>
  <c r="J12" i="1" s="1"/>
  <c r="J11" i="1"/>
  <c r="J8" i="1"/>
  <c r="J9" i="1"/>
  <c r="J7" i="1"/>
  <c r="G31" i="1" l="1"/>
</calcChain>
</file>

<file path=xl/sharedStrings.xml><?xml version="1.0" encoding="utf-8"?>
<sst xmlns="http://schemas.openxmlformats.org/spreadsheetml/2006/main" count="57" uniqueCount="41">
  <si>
    <t>Nhân sự</t>
  </si>
  <si>
    <t>Số h làm việc</t>
  </si>
  <si>
    <t>Chi phí 1h</t>
  </si>
  <si>
    <t>Tổng chi phí</t>
  </si>
  <si>
    <t>Thời vụ 1</t>
  </si>
  <si>
    <t>Thời vụ 2</t>
  </si>
  <si>
    <t>Thời vụ 3</t>
  </si>
  <si>
    <t>Nhân sự chuyển kho</t>
  </si>
  <si>
    <t>Số ngày</t>
  </si>
  <si>
    <t>Nhiệm vụ</t>
  </si>
  <si>
    <t>Chuyển kho ban ngày</t>
  </si>
  <si>
    <t>Nhân sự thuê ngoài</t>
  </si>
  <si>
    <t>Tường</t>
  </si>
  <si>
    <t>Sắp xếp kho ban đêm</t>
  </si>
  <si>
    <t>Nhân sự làm gác</t>
  </si>
  <si>
    <t xml:space="preserve">Lắp ráp gác </t>
  </si>
  <si>
    <t>Tổng</t>
  </si>
  <si>
    <t>Loại xe</t>
  </si>
  <si>
    <t>Thuê xe vận chuyển hàng</t>
  </si>
  <si>
    <t>Số chuyển</t>
  </si>
  <si>
    <t>Chi phí 1 chuyến</t>
  </si>
  <si>
    <t>Xe 2.5 tấn</t>
  </si>
  <si>
    <t>Số ngày thuê</t>
  </si>
  <si>
    <t>Vận chuyển hàng hoá và gác</t>
  </si>
  <si>
    <t>Công cụ dụng cụ</t>
  </si>
  <si>
    <t>Loại công cụ</t>
  </si>
  <si>
    <t>Số lượng</t>
  </si>
  <si>
    <t>Giá</t>
  </si>
  <si>
    <t>Màn co</t>
  </si>
  <si>
    <t>Bọc cầu, tiểu khi sắp xếp hàng vào kho mới</t>
  </si>
  <si>
    <t>Xe nâng tay</t>
  </si>
  <si>
    <t>1 xe kho mới, 1 xe kho cũ để vận chuyển nhanh hơn (1 xe ở kho đã hư)</t>
  </si>
  <si>
    <t>Chi phí dự phòng</t>
  </si>
  <si>
    <t>CHI PHÍ TỔNG HỢP</t>
  </si>
  <si>
    <t>Kế hoạch diễn giải</t>
  </si>
  <si>
    <t>Loai công việc</t>
  </si>
  <si>
    <t>Số ngày dự kiến</t>
  </si>
  <si>
    <t>10 ngày</t>
  </si>
  <si>
    <t>Chuyển gác và làm gác</t>
  </si>
  <si>
    <t>15 ngày</t>
  </si>
  <si>
    <t>Chuyển kho ban ngày và sắp xếp kho ban đêm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</si>
</sst>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₫&quot;* #,##0_);_(&quot;₫&quot;* \(#,##0\);_(&quot;₫&quot;* &quot;-&quot;_);_(@_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3" tint="0.49998474074526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42" fontId="0" fillId="0" borderId="1" xfId="0" applyNumberFormat="1" applyBorder="1" applyAlignment="1">
      <alignment horizontal="center"/>
    </xf>
    <xf numFmtId="42" fontId="0" fillId="0" borderId="0" xfId="0" applyNumberFormat="1" applyAlignment="1">
      <alignment horizontal="center"/>
    </xf>
    <xf numFmtId="4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8C23-5B5B-034A-ADD6-1F3E3E37F4F1}">
  <dimension ref="E5:J36"/>
  <sheetViews>
    <sheetView tabSelected="1" zoomScale="86" workbookViewId="0">
      <selection activeCell="F10" sqref="F10"/>
    </sheetView>
  </sheetViews>
  <sheetFormatPr baseColWidth="10" defaultRowHeight="16" x14ac:dyDescent="0.2"/>
  <cols>
    <col min="5" max="5" width="10.83203125" style="2"/>
    <col min="6" max="6" width="38.83203125" style="1" customWidth="1"/>
    <col min="7" max="7" width="13.6640625" style="1" customWidth="1"/>
    <col min="8" max="8" width="15" style="1" customWidth="1"/>
    <col min="9" max="9" width="11.5" style="1" bestFit="1" customWidth="1"/>
    <col min="10" max="10" width="12.5" style="1" bestFit="1" customWidth="1"/>
  </cols>
  <sheetData>
    <row r="5" spans="5:10" x14ac:dyDescent="0.2">
      <c r="F5" s="7" t="s">
        <v>7</v>
      </c>
    </row>
    <row r="6" spans="5:10" ht="17" x14ac:dyDescent="0.2">
      <c r="E6" s="8" t="s">
        <v>9</v>
      </c>
      <c r="F6" s="9" t="s">
        <v>0</v>
      </c>
      <c r="G6" s="9" t="s">
        <v>1</v>
      </c>
      <c r="H6" s="9" t="s">
        <v>2</v>
      </c>
      <c r="I6" s="9" t="s">
        <v>8</v>
      </c>
      <c r="J6" s="9" t="s">
        <v>3</v>
      </c>
    </row>
    <row r="7" spans="5:10" x14ac:dyDescent="0.2">
      <c r="E7" s="16" t="s">
        <v>10</v>
      </c>
      <c r="F7" s="3" t="s">
        <v>4</v>
      </c>
      <c r="G7" s="3">
        <v>6</v>
      </c>
      <c r="H7" s="12">
        <v>100000</v>
      </c>
      <c r="I7" s="3">
        <v>20</v>
      </c>
      <c r="J7" s="12">
        <f>G7*H7*I7</f>
        <v>12000000</v>
      </c>
    </row>
    <row r="8" spans="5:10" x14ac:dyDescent="0.2">
      <c r="E8" s="16"/>
      <c r="F8" s="3" t="s">
        <v>5</v>
      </c>
      <c r="G8" s="3">
        <v>6</v>
      </c>
      <c r="H8" s="12">
        <v>100000</v>
      </c>
      <c r="I8" s="3">
        <v>20</v>
      </c>
      <c r="J8" s="12">
        <f t="shared" ref="J8:J11" si="0">G8*H8*I8</f>
        <v>12000000</v>
      </c>
    </row>
    <row r="9" spans="5:10" x14ac:dyDescent="0.2">
      <c r="E9" s="16"/>
      <c r="F9" s="3" t="s">
        <v>6</v>
      </c>
      <c r="G9" s="3">
        <v>6</v>
      </c>
      <c r="H9" s="12">
        <v>100000</v>
      </c>
      <c r="I9" s="3">
        <v>20</v>
      </c>
      <c r="J9" s="12">
        <f t="shared" si="0"/>
        <v>12000000</v>
      </c>
    </row>
    <row r="10" spans="5:10" x14ac:dyDescent="0.2">
      <c r="E10" s="17" t="s">
        <v>13</v>
      </c>
      <c r="F10" s="3" t="s">
        <v>11</v>
      </c>
      <c r="G10" s="3">
        <v>5</v>
      </c>
      <c r="H10" s="12">
        <v>100000</v>
      </c>
      <c r="I10" s="3">
        <v>20</v>
      </c>
      <c r="J10" s="12">
        <f t="shared" si="0"/>
        <v>10000000</v>
      </c>
    </row>
    <row r="11" spans="5:10" x14ac:dyDescent="0.2">
      <c r="E11" s="17"/>
      <c r="F11" s="3" t="s">
        <v>12</v>
      </c>
      <c r="G11" s="3">
        <v>5</v>
      </c>
      <c r="H11" s="12">
        <v>75000</v>
      </c>
      <c r="I11" s="3">
        <v>20</v>
      </c>
      <c r="J11" s="12">
        <f t="shared" si="0"/>
        <v>7500000</v>
      </c>
    </row>
    <row r="12" spans="5:10" x14ac:dyDescent="0.2">
      <c r="I12" s="10" t="s">
        <v>16</v>
      </c>
      <c r="J12" s="13">
        <f>SUM(J7:J11)</f>
        <v>53500000</v>
      </c>
    </row>
    <row r="13" spans="5:10" x14ac:dyDescent="0.2">
      <c r="F13" s="7" t="s">
        <v>14</v>
      </c>
    </row>
    <row r="14" spans="5:10" ht="17" x14ac:dyDescent="0.2">
      <c r="E14" s="8" t="s">
        <v>9</v>
      </c>
      <c r="F14" s="9" t="s">
        <v>0</v>
      </c>
      <c r="G14" s="9" t="s">
        <v>1</v>
      </c>
      <c r="H14" s="9" t="s">
        <v>2</v>
      </c>
      <c r="I14" s="9" t="s">
        <v>8</v>
      </c>
      <c r="J14" s="9" t="s">
        <v>3</v>
      </c>
    </row>
    <row r="15" spans="5:10" x14ac:dyDescent="0.2">
      <c r="E15" s="16" t="s">
        <v>15</v>
      </c>
      <c r="F15" s="5" t="s">
        <v>4</v>
      </c>
      <c r="G15" s="5">
        <v>6</v>
      </c>
      <c r="H15" s="14">
        <v>100000</v>
      </c>
      <c r="I15" s="5">
        <v>5</v>
      </c>
      <c r="J15" s="14">
        <f>G15*H15*5</f>
        <v>3000000</v>
      </c>
    </row>
    <row r="16" spans="5:10" x14ac:dyDescent="0.2">
      <c r="E16" s="16"/>
      <c r="F16" s="5" t="s">
        <v>5</v>
      </c>
      <c r="G16" s="5">
        <v>6</v>
      </c>
      <c r="H16" s="14">
        <v>100000</v>
      </c>
      <c r="I16" s="5">
        <v>5</v>
      </c>
      <c r="J16" s="14">
        <f t="shared" ref="J16:J17" si="1">G16*H16*5</f>
        <v>3000000</v>
      </c>
    </row>
    <row r="17" spans="5:10" x14ac:dyDescent="0.2">
      <c r="E17" s="16"/>
      <c r="F17" s="5" t="s">
        <v>6</v>
      </c>
      <c r="G17" s="5">
        <v>6</v>
      </c>
      <c r="H17" s="14">
        <v>100000</v>
      </c>
      <c r="I17" s="5">
        <v>5</v>
      </c>
      <c r="J17" s="14">
        <f t="shared" si="1"/>
        <v>3000000</v>
      </c>
    </row>
    <row r="18" spans="5:10" x14ac:dyDescent="0.2">
      <c r="I18" s="6" t="s">
        <v>16</v>
      </c>
      <c r="J18" s="13">
        <f>SUM(J15:J17)</f>
        <v>9000000</v>
      </c>
    </row>
    <row r="19" spans="5:10" x14ac:dyDescent="0.2">
      <c r="F19" s="7" t="s">
        <v>18</v>
      </c>
    </row>
    <row r="20" spans="5:10" ht="17" x14ac:dyDescent="0.2">
      <c r="E20" s="8" t="s">
        <v>9</v>
      </c>
      <c r="F20" s="9" t="s">
        <v>17</v>
      </c>
      <c r="G20" s="9" t="s">
        <v>19</v>
      </c>
      <c r="H20" s="9" t="s">
        <v>20</v>
      </c>
      <c r="I20" s="9" t="s">
        <v>22</v>
      </c>
      <c r="J20" s="9" t="s">
        <v>3</v>
      </c>
    </row>
    <row r="21" spans="5:10" ht="51" x14ac:dyDescent="0.2">
      <c r="E21" s="4" t="s">
        <v>23</v>
      </c>
      <c r="F21" s="5" t="s">
        <v>21</v>
      </c>
      <c r="G21" s="5">
        <v>4</v>
      </c>
      <c r="H21" s="14">
        <v>500000</v>
      </c>
      <c r="I21" s="5">
        <v>10</v>
      </c>
      <c r="J21" s="14">
        <f>G21*H21*I21</f>
        <v>20000000</v>
      </c>
    </row>
    <row r="22" spans="5:10" x14ac:dyDescent="0.2">
      <c r="I22" s="10" t="s">
        <v>16</v>
      </c>
      <c r="J22" s="13">
        <f>J21</f>
        <v>20000000</v>
      </c>
    </row>
    <row r="23" spans="5:10" x14ac:dyDescent="0.2">
      <c r="F23" s="7" t="s">
        <v>24</v>
      </c>
    </row>
    <row r="24" spans="5:10" ht="17" x14ac:dyDescent="0.2">
      <c r="E24" s="8" t="s">
        <v>9</v>
      </c>
      <c r="F24" s="15" t="s">
        <v>25</v>
      </c>
      <c r="G24" s="8" t="s">
        <v>26</v>
      </c>
      <c r="H24" s="8" t="s">
        <v>27</v>
      </c>
      <c r="I24" s="8" t="s">
        <v>3</v>
      </c>
    </row>
    <row r="25" spans="5:10" ht="68" x14ac:dyDescent="0.2">
      <c r="E25" s="4" t="s">
        <v>29</v>
      </c>
      <c r="F25" s="5" t="s">
        <v>28</v>
      </c>
      <c r="G25" s="5">
        <v>5</v>
      </c>
      <c r="H25" s="14">
        <v>132000</v>
      </c>
      <c r="I25" s="14">
        <f>G25*H25</f>
        <v>660000</v>
      </c>
    </row>
    <row r="26" spans="5:10" ht="119" x14ac:dyDescent="0.2">
      <c r="E26" s="4" t="s">
        <v>31</v>
      </c>
      <c r="F26" s="5" t="s">
        <v>30</v>
      </c>
      <c r="G26" s="5">
        <v>1</v>
      </c>
      <c r="H26" s="14">
        <v>5000000</v>
      </c>
      <c r="I26" s="14">
        <f>G26*H26</f>
        <v>5000000</v>
      </c>
    </row>
    <row r="27" spans="5:10" x14ac:dyDescent="0.2">
      <c r="H27" s="10" t="s">
        <v>16</v>
      </c>
      <c r="I27" s="13">
        <f>SUM(I25:I26)</f>
        <v>5660000</v>
      </c>
    </row>
    <row r="28" spans="5:10" x14ac:dyDescent="0.2">
      <c r="F28" s="7" t="s">
        <v>32</v>
      </c>
      <c r="G28" s="13">
        <v>15000000</v>
      </c>
    </row>
    <row r="31" spans="5:10" x14ac:dyDescent="0.2">
      <c r="F31" s="11" t="s">
        <v>33</v>
      </c>
      <c r="G31" s="13">
        <f>J12+J18+J22+I27+G28</f>
        <v>103160000</v>
      </c>
    </row>
    <row r="33" spans="6:7" x14ac:dyDescent="0.2">
      <c r="F33" s="1" t="s">
        <v>34</v>
      </c>
    </row>
    <row r="34" spans="6:7" ht="17" x14ac:dyDescent="0.2">
      <c r="F34" s="15" t="s">
        <v>35</v>
      </c>
      <c r="G34" s="15" t="s">
        <v>36</v>
      </c>
    </row>
    <row r="35" spans="6:7" x14ac:dyDescent="0.2">
      <c r="F35" s="3" t="s">
        <v>40</v>
      </c>
      <c r="G35" s="3" t="s">
        <v>37</v>
      </c>
    </row>
    <row r="36" spans="6:7" x14ac:dyDescent="0.2">
      <c r="F36" s="3" t="s">
        <v>38</v>
      </c>
      <c r="G36" s="3" t="s">
        <v>39</v>
      </c>
    </row>
  </sheetData>
  <mergeCells count="3">
    <mergeCell ref="E7:E9"/>
    <mergeCell ref="E10:E11"/>
    <mergeCell ref="E15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thien</dc:creator>
  <cp:lastModifiedBy>le thien</cp:lastModifiedBy>
  <dcterms:created xsi:type="dcterms:W3CDTF">2025-11-14T07:36:00Z</dcterms:created>
  <dcterms:modified xsi:type="dcterms:W3CDTF">2025-11-14T08:45:07Z</dcterms:modified>
</cp:coreProperties>
</file>